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>
    <definedName name="VALOR_HORA">Resumen!$C$5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USD&quot; #,##0.00"/>
    <numFmt numFmtId="165" formatCode="#,##0.##"/>
  </numFmts>
  <fonts count="10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color rgb="00595959"/>
      <sz val="10"/>
    </font>
    <font>
      <b val="1"/>
    </font>
    <font>
      <b val="1"/>
      <color rgb="009C5700"/>
      <sz val="13"/>
    </font>
    <font>
      <i val="1"/>
      <color rgb="009C5700"/>
      <sz val="10"/>
    </font>
    <font>
      <b val="1"/>
      <color rgb="00FFFFFF"/>
    </font>
    <font>
      <b val="1"/>
      <sz val="12"/>
    </font>
    <font>
      <i val="1"/>
      <color rgb="00595959"/>
      <sz val="9"/>
    </font>
    <font>
      <b val="1"/>
      <color rgb="001F4E79"/>
      <sz val="13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164" fontId="0" fillId="0" borderId="1" pivotButton="0" quotePrefix="0" xfId="0"/>
    <xf numFmtId="0" fontId="7" fillId="4" borderId="1" pivotButton="0" quotePrefix="0" xfId="0"/>
    <xf numFmtId="165" fontId="7" fillId="4" borderId="1" applyAlignment="1" pivotButton="0" quotePrefix="0" xfId="0">
      <alignment horizontal="center"/>
    </xf>
    <xf numFmtId="164" fontId="7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3" fillId="5" borderId="1" pivotButton="0" quotePrefix="0" xfId="0"/>
    <xf numFmtId="0" fontId="3" fillId="5" borderId="1" applyAlignment="1" pivotButton="0" quotePrefix="0" xfId="0">
      <alignment horizontal="right"/>
    </xf>
    <xf numFmtId="165" fontId="3" fillId="5" borderId="1" applyAlignment="1" pivotButton="0" quotePrefix="0" xfId="0">
      <alignment horizontal="center"/>
    </xf>
    <xf numFmtId="164" fontId="3" fillId="5" borderId="1" pivotButton="0" quotePrefix="0" xfId="0"/>
    <xf numFmtId="0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C5" sqref="C5"/>
    </sheetView>
  </sheetViews>
  <sheetFormatPr baseColWidth="8" defaultRowHeight="15"/>
  <cols>
    <col width="2" customWidth="1" min="1" max="1"/>
    <col width="62" customWidth="1" min="2" max="2"/>
    <col width="12" customWidth="1" min="3" max="3"/>
    <col width="16" customWidth="1" min="4" max="4"/>
    <col width="46" customWidth="1" min="5" max="5"/>
  </cols>
  <sheetData>
    <row r="2">
      <c r="B2" s="1" t="inlineStr">
        <is>
          <t>ATLAS — Presupuesto de modificaciones</t>
        </is>
      </c>
    </row>
    <row r="3">
      <c r="B3" s="2" t="inlineStr">
        <is>
          <t>Fecha: 7 de septiembre de 2026 · Comisión Nacional de Energía Atómica</t>
        </is>
      </c>
    </row>
    <row r="5">
      <c r="B5" s="3" t="inlineStr">
        <is>
          <t>Valor hora (USD)</t>
        </is>
      </c>
      <c r="C5" s="4" t="n">
        <v>15</v>
      </c>
      <c r="D5" s="5" t="inlineStr">
        <is>
          <t>◄ editá esta celda: recalcula todo el presupuesto</t>
        </is>
      </c>
    </row>
    <row r="7">
      <c r="B7" s="6" t="inlineStr">
        <is>
          <t>Módulo</t>
        </is>
      </c>
      <c r="C7" s="7" t="inlineStr">
        <is>
          <t>Horas</t>
        </is>
      </c>
      <c r="D7" s="7" t="inlineStr">
        <is>
          <t>Importe</t>
        </is>
      </c>
    </row>
    <row r="8">
      <c r="B8" s="8" t="inlineStr">
        <is>
          <t>M1 — Nueva jerarquía de agregación y entidad «Cuenta»</t>
        </is>
      </c>
      <c r="C8" s="9">
        <f>SUMIF(Detalle!$A:$A,"M1",Detalle!$E:$E)</f>
        <v/>
      </c>
      <c r="D8" s="10">
        <f>C8*VALOR_HORA</f>
        <v/>
      </c>
    </row>
    <row r="9">
      <c r="B9" s="8" t="inlineStr">
        <is>
          <t>M2 — Indicadores y panel de control por Cuenta</t>
        </is>
      </c>
      <c r="C9" s="9">
        <f>SUMIF(Detalle!$A:$A,"M2",Detalle!$E:$E)</f>
        <v/>
      </c>
      <c r="D9" s="10">
        <f>C9*VALOR_HORA</f>
        <v/>
      </c>
    </row>
    <row r="10">
      <c r="B10" s="8" t="inlineStr">
        <is>
          <t>M3 — Gestión de roles y permisos</t>
        </is>
      </c>
      <c r="C10" s="9">
        <f>SUMIF(Detalle!$A:$A,"M3",Detalle!$E:$E)</f>
        <v/>
      </c>
      <c r="D10" s="10">
        <f>C10*VALOR_HORA</f>
        <v/>
      </c>
    </row>
    <row r="11">
      <c r="B11" s="8" t="inlineStr">
        <is>
          <t>M4 — Exportación del panel de indicadores a PDF</t>
        </is>
      </c>
      <c r="C11" s="9">
        <f>SUMIF(Detalle!$A:$A,"M4",Detalle!$E:$E)</f>
        <v/>
      </c>
      <c r="D11" s="10">
        <f>C11*VALOR_HORA</f>
        <v/>
      </c>
    </row>
    <row r="12">
      <c r="B12" s="8" t="inlineStr">
        <is>
          <t>M5 — Observaciones del informe de seguridad IN-TIC_SI-103</t>
        </is>
      </c>
      <c r="C12" s="9">
        <f>SUMIF(Detalle!$A:$A,"M5",Detalle!$E:$E)</f>
        <v/>
      </c>
      <c r="D12" s="10">
        <f>C12*VALOR_HORA</f>
        <v/>
      </c>
    </row>
    <row r="13">
      <c r="B13" s="8" t="inlineStr">
        <is>
          <t>M6 — Pruebas, documentación y puesta en producción</t>
        </is>
      </c>
      <c r="C13" s="9">
        <f>SUMIF(Detalle!$A:$A,"M6",Detalle!$E:$E)</f>
        <v/>
      </c>
      <c r="D13" s="10">
        <f>C13*VALOR_HORA</f>
        <v/>
      </c>
    </row>
    <row r="14">
      <c r="B14" s="11" t="inlineStr">
        <is>
          <t>Total</t>
        </is>
      </c>
      <c r="C14" s="12">
        <f>SUM(C8:C13)</f>
        <v/>
      </c>
      <c r="D14" s="13">
        <f>SUM(D8:D13)</f>
        <v/>
      </c>
    </row>
    <row r="16">
      <c r="B16" s="14" t="inlineStr">
        <is>
          <t>Los importes se expresan en dólares estadounidenses y no incluyen impuestos.</t>
        </is>
      </c>
    </row>
    <row r="17">
      <c r="B17" s="14" t="inlineStr">
        <is>
          <t>El detalle de las tareas de cada módulo está en la hoja «Detalle».</t>
        </is>
      </c>
    </row>
  </sheetData>
  <dataValidations count="1">
    <dataValidation sqref="C5" showDropDown="0" showInputMessage="0" showErrorMessage="0" allowBlank="0" errorTitle="Valor hora inválido" error="Ingrese un valor hora mayor a cero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8" customWidth="1" min="3" max="3"/>
    <col width="76" customWidth="1" min="4" max="4"/>
    <col width="9" customWidth="1" min="5" max="5"/>
    <col width="15" customWidth="1" min="6" max="6"/>
  </cols>
  <sheetData>
    <row r="1">
      <c r="A1" s="15" t="inlineStr">
        <is>
          <t>Detalle de tareas y esfuerzo</t>
        </is>
      </c>
    </row>
    <row r="2">
      <c r="A2" s="2" t="inlineStr">
        <is>
          <t>Los importes se calculan con el valor hora de la hoja «Resumen».</t>
        </is>
      </c>
    </row>
    <row r="4" ht="22" customHeight="1">
      <c r="A4" s="16" t="inlineStr">
        <is>
          <t>Módulo</t>
        </is>
      </c>
      <c r="B4" s="16" t="inlineStr">
        <is>
          <t>Descripción del módulo</t>
        </is>
      </c>
      <c r="C4" s="16" t="inlineStr">
        <is>
          <t>Ítem</t>
        </is>
      </c>
      <c r="D4" s="16" t="inlineStr">
        <is>
          <t>Tarea</t>
        </is>
      </c>
      <c r="E4" s="16" t="inlineStr">
        <is>
          <t>Horas</t>
        </is>
      </c>
      <c r="F4" s="16" t="inlineStr">
        <is>
          <t>Importe</t>
        </is>
      </c>
    </row>
    <row r="5">
      <c r="A5" s="17" t="inlineStr">
        <is>
          <t>M1</t>
        </is>
      </c>
      <c r="B5" s="8" t="inlineStr">
        <is>
          <t>Nueva jerarquía de agregación y entidad «Cuenta»</t>
        </is>
      </c>
      <c r="C5" s="17" t="inlineStr">
        <is>
          <t>1.1</t>
        </is>
      </c>
      <c r="D5" s="18" t="inlineStr">
        <is>
          <t>Análisis funcional, diseño del modelo de datos y reglas de migración de la información existente</t>
        </is>
      </c>
      <c r="E5" s="9" t="n">
        <v>5</v>
      </c>
      <c r="F5" s="10">
        <f>E5*VALOR_HORA</f>
        <v/>
      </c>
    </row>
    <row r="6">
      <c r="A6" s="17" t="inlineStr">
        <is>
          <t>M1</t>
        </is>
      </c>
      <c r="B6" s="8" t="inlineStr">
        <is>
          <t>Nueva jerarquía de agregación y entidad «Cuenta»</t>
        </is>
      </c>
      <c r="C6" s="17" t="inlineStr">
        <is>
          <t>1.2</t>
        </is>
      </c>
      <c r="D6" s="18" t="inlineStr">
        <is>
          <t>Base de datos: alta de la entidad Cuenta, relación con contratos y migración de los datos actuales</t>
        </is>
      </c>
      <c r="E6" s="9" t="n">
        <v>5</v>
      </c>
      <c r="F6" s="10">
        <f>E6*VALOR_HORA</f>
        <v/>
      </c>
    </row>
    <row r="7">
      <c r="A7" s="17" t="inlineStr">
        <is>
          <t>M1</t>
        </is>
      </c>
      <c r="B7" s="8" t="inlineStr">
        <is>
          <t>Nueva jerarquía de agregación y entidad «Cuenta»</t>
        </is>
      </c>
      <c r="C7" s="17" t="inlineStr">
        <is>
          <t>1.3</t>
        </is>
      </c>
      <c r="D7" s="18" t="inlineStr">
        <is>
          <t>Backend: modelo, servicio y alta/baja/modificación de Cuentas, con validaciones e historial de cambios</t>
        </is>
      </c>
      <c r="E7" s="9" t="n">
        <v>6</v>
      </c>
      <c r="F7" s="10">
        <f>E7*VALOR_HORA</f>
        <v/>
      </c>
    </row>
    <row r="8">
      <c r="A8" s="17" t="inlineStr">
        <is>
          <t>M1</t>
        </is>
      </c>
      <c r="B8" s="8" t="inlineStr">
        <is>
          <t>Nueva jerarquía de agregación y entidad «Cuenta»</t>
        </is>
      </c>
      <c r="C8" s="17" t="inlineStr">
        <is>
          <t>1.4</t>
        </is>
      </c>
      <c r="D8" s="18" t="inlineStr">
        <is>
          <t>Backend: adaptación del alcance por usuario, del importador, de la exportación consolidada y del respaldo de base</t>
        </is>
      </c>
      <c r="E8" s="9" t="n">
        <v>6</v>
      </c>
      <c r="F8" s="10">
        <f>E8*VALOR_HORA</f>
        <v/>
      </c>
    </row>
    <row r="9">
      <c r="A9" s="17" t="inlineStr">
        <is>
          <t>M1</t>
        </is>
      </c>
      <c r="B9" s="8" t="inlineStr">
        <is>
          <t>Nueva jerarquía de agregación y entidad «Cuenta»</t>
        </is>
      </c>
      <c r="C9" s="17" t="inlineStr">
        <is>
          <t>1.5</t>
        </is>
      </c>
      <c r="D9" s="18" t="inlineStr">
        <is>
          <t>Frontend: gestión de Cuentas y selección de cuenta en alta, edición, listado y detalle de contratos</t>
        </is>
      </c>
      <c r="E9" s="9" t="n">
        <v>7</v>
      </c>
      <c r="F9" s="10">
        <f>E9*VALOR_HORA</f>
        <v/>
      </c>
    </row>
    <row r="10">
      <c r="A10" s="17" t="inlineStr">
        <is>
          <t>M1</t>
        </is>
      </c>
      <c r="B10" s="8" t="inlineStr">
        <is>
          <t>Nueva jerarquía de agregación y entidad «Cuenta»</t>
        </is>
      </c>
      <c r="C10" s="17" t="inlineStr">
        <is>
          <t>1.6</t>
        </is>
      </c>
      <c r="D10" s="18" t="inlineStr">
        <is>
          <t>Renombrado de «Subsector» a «Gerencia» en interfaz, servicios, catálogos y documentación</t>
        </is>
      </c>
      <c r="E10" s="9" t="n">
        <v>4</v>
      </c>
      <c r="F10" s="10">
        <f>E10*VALOR_HORA</f>
        <v/>
      </c>
    </row>
    <row r="11">
      <c r="A11" s="19" t="n"/>
      <c r="B11" s="19" t="n"/>
      <c r="C11" s="19" t="n"/>
      <c r="D11" s="20" t="inlineStr">
        <is>
          <t>Subtotal M1</t>
        </is>
      </c>
      <c r="E11" s="21">
        <f>SUM(E5:E10)</f>
        <v/>
      </c>
      <c r="F11" s="22">
        <f>SUM(F5:F10)</f>
        <v/>
      </c>
    </row>
    <row r="12">
      <c r="A12" s="17" t="inlineStr">
        <is>
          <t>M2</t>
        </is>
      </c>
      <c r="B12" s="8" t="inlineStr">
        <is>
          <t>Indicadores y panel de control por Cuenta</t>
        </is>
      </c>
      <c r="C12" s="17" t="inlineStr">
        <is>
          <t>2.1</t>
        </is>
      </c>
      <c r="D12" s="18" t="inlineStr">
        <is>
          <t>Agrupación de saldos por Cuenta: cálculo jerárquico, totales por rama y consistencia con los niveles superiores</t>
        </is>
      </c>
      <c r="E12" s="9" t="n">
        <v>6</v>
      </c>
      <c r="F12" s="10">
        <f>E12*VALOR_HORA</f>
        <v/>
      </c>
    </row>
    <row r="13">
      <c r="A13" s="17" t="inlineStr">
        <is>
          <t>M2</t>
        </is>
      </c>
      <c r="B13" s="8" t="inlineStr">
        <is>
          <t>Indicadores y panel de control por Cuenta</t>
        </is>
      </c>
      <c r="C13" s="17" t="inlineStr">
        <is>
          <t>2.2</t>
        </is>
      </c>
      <c r="D13" s="18" t="inlineStr">
        <is>
          <t>Filtro «por cuenta» en indicadores, distribuciones, gráficos y rankings del panel</t>
        </is>
      </c>
      <c r="E13" s="9" t="n">
        <v>5</v>
      </c>
      <c r="F13" s="10">
        <f>E13*VALOR_HORA</f>
        <v/>
      </c>
    </row>
    <row r="14">
      <c r="A14" s="17" t="inlineStr">
        <is>
          <t>M2</t>
        </is>
      </c>
      <c r="B14" s="8" t="inlineStr">
        <is>
          <t>Indicadores y panel de control por Cuenta</t>
        </is>
      </c>
      <c r="C14" s="17" t="inlineStr">
        <is>
          <t>2.3</t>
        </is>
      </c>
      <c r="D14" s="18" t="inlineStr">
        <is>
          <t>Preferencia de agrupación por usuario y ajustes de presentación</t>
        </is>
      </c>
      <c r="E14" s="9" t="n">
        <v>2</v>
      </c>
      <c r="F14" s="10">
        <f>E14*VALOR_HORA</f>
        <v/>
      </c>
    </row>
    <row r="15">
      <c r="A15" s="19" t="n"/>
      <c r="B15" s="19" t="n"/>
      <c r="C15" s="19" t="n"/>
      <c r="D15" s="20" t="inlineStr">
        <is>
          <t>Subtotal M2</t>
        </is>
      </c>
      <c r="E15" s="21">
        <f>SUM(E12:E14)</f>
        <v/>
      </c>
      <c r="F15" s="22">
        <f>SUM(F12:F14)</f>
        <v/>
      </c>
    </row>
    <row r="16">
      <c r="A16" s="17" t="inlineStr">
        <is>
          <t>M3</t>
        </is>
      </c>
      <c r="B16" s="8" t="inlineStr">
        <is>
          <t>Gestión de roles y permisos</t>
        </is>
      </c>
      <c r="C16" s="17" t="inlineStr">
        <is>
          <t>3.1</t>
        </is>
      </c>
      <c r="D16" s="18" t="inlineStr">
        <is>
          <t>Análisis y diseño del modelo de permisos: catálogo de permisos, matriz por rol y reglas de herencia del alcance</t>
        </is>
      </c>
      <c r="E16" s="9" t="n">
        <v>5</v>
      </c>
      <c r="F16" s="10">
        <f>E16*VALOR_HORA</f>
        <v/>
      </c>
    </row>
    <row r="17">
      <c r="A17" s="17" t="inlineStr">
        <is>
          <t>M3</t>
        </is>
      </c>
      <c r="B17" s="8" t="inlineStr">
        <is>
          <t>Gestión de roles y permisos</t>
        </is>
      </c>
      <c r="C17" s="17" t="inlineStr">
        <is>
          <t>3.2</t>
        </is>
      </c>
      <c r="D17" s="18" t="inlineStr">
        <is>
          <t>Base de datos: roles, permisos, asignaciones y alcances; migración de los cuatro roles actuales a roles equivalentes</t>
        </is>
      </c>
      <c r="E17" s="9" t="n">
        <v>3</v>
      </c>
      <c r="F17" s="10">
        <f>E17*VALOR_HORA</f>
        <v/>
      </c>
    </row>
    <row r="18">
      <c r="A18" s="17" t="inlineStr">
        <is>
          <t>M3</t>
        </is>
      </c>
      <c r="B18" s="8" t="inlineStr">
        <is>
          <t>Gestión de roles y permisos</t>
        </is>
      </c>
      <c r="C18" s="17" t="inlineStr">
        <is>
          <t>3.3</t>
        </is>
      </c>
      <c r="D18" s="18" t="inlineStr">
        <is>
          <t>Backend: motor de autorización y resolución jerárquica del alcance ver/ejecutar, con caché por usuario</t>
        </is>
      </c>
      <c r="E18" s="9" t="n">
        <v>8</v>
      </c>
      <c r="F18" s="10">
        <f>E18*VALOR_HORA</f>
        <v/>
      </c>
    </row>
    <row r="19">
      <c r="A19" s="17" t="inlineStr">
        <is>
          <t>M3</t>
        </is>
      </c>
      <c r="B19" s="8" t="inlineStr">
        <is>
          <t>Gestión de roles y permisos</t>
        </is>
      </c>
      <c r="C19" s="17" t="inlineStr">
        <is>
          <t>3.4</t>
        </is>
      </c>
      <c r="D19" s="18" t="inlineStr">
        <is>
          <t>Backend: aplicación de los permisos en la totalidad de los servicios y puntos de acceso de la API</t>
        </is>
      </c>
      <c r="E19" s="9" t="n">
        <v>6</v>
      </c>
      <c r="F19" s="10">
        <f>E19*VALOR_HORA</f>
        <v/>
      </c>
    </row>
    <row r="20">
      <c r="A20" s="17" t="inlineStr">
        <is>
          <t>M3</t>
        </is>
      </c>
      <c r="B20" s="8" t="inlineStr">
        <is>
          <t>Gestión de roles y permisos</t>
        </is>
      </c>
      <c r="C20" s="17" t="inlineStr">
        <is>
          <t>3.5</t>
        </is>
      </c>
      <c r="D20" s="18" t="inlineStr">
        <is>
          <t>Frontend: administración de roles y permisos, con selección del alcance sobre el árbol de la organización</t>
        </is>
      </c>
      <c r="E20" s="9" t="n">
        <v>8</v>
      </c>
      <c r="F20" s="10">
        <f>E20*VALOR_HORA</f>
        <v/>
      </c>
    </row>
    <row r="21">
      <c r="A21" s="17" t="inlineStr">
        <is>
          <t>M3</t>
        </is>
      </c>
      <c r="B21" s="8" t="inlineStr">
        <is>
          <t>Gestión de roles y permisos</t>
        </is>
      </c>
      <c r="C21" s="17" t="inlineStr">
        <is>
          <t>3.6</t>
        </is>
      </c>
      <c r="D21" s="18" t="inlineStr">
        <is>
          <t>Frontend: asignación de roles y alcances a los usuarios, y adaptación de la pantalla de usuarios</t>
        </is>
      </c>
      <c r="E21" s="9" t="n">
        <v>4</v>
      </c>
      <c r="F21" s="10">
        <f>E21*VALOR_HORA</f>
        <v/>
      </c>
    </row>
    <row r="22">
      <c r="A22" s="17" t="inlineStr">
        <is>
          <t>M3</t>
        </is>
      </c>
      <c r="B22" s="8" t="inlineStr">
        <is>
          <t>Gestión de roles y permisos</t>
        </is>
      </c>
      <c r="C22" s="17" t="inlineStr">
        <is>
          <t>3.7</t>
        </is>
      </c>
      <c r="D22" s="18" t="inlineStr">
        <is>
          <t>Pruebas de la matriz de permisos y del aislamiento entre gerencias</t>
        </is>
      </c>
      <c r="E22" s="9" t="n">
        <v>5</v>
      </c>
      <c r="F22" s="10">
        <f>E22*VALOR_HORA</f>
        <v/>
      </c>
    </row>
    <row r="23">
      <c r="A23" s="19" t="n"/>
      <c r="B23" s="19" t="n"/>
      <c r="C23" s="19" t="n"/>
      <c r="D23" s="20" t="inlineStr">
        <is>
          <t>Subtotal M3</t>
        </is>
      </c>
      <c r="E23" s="21">
        <f>SUM(E16:E22)</f>
        <v/>
      </c>
      <c r="F23" s="22">
        <f>SUM(F16:F22)</f>
        <v/>
      </c>
    </row>
    <row r="24">
      <c r="A24" s="17" t="inlineStr">
        <is>
          <t>M4</t>
        </is>
      </c>
      <c r="B24" s="8" t="inlineStr">
        <is>
          <t>Exportación del panel de indicadores a PDF</t>
        </is>
      </c>
      <c r="C24" s="17" t="inlineStr">
        <is>
          <t>4.1</t>
        </is>
      </c>
      <c r="D24" s="18" t="inlineStr">
        <is>
          <t>Diseño de la plantilla del reporte: portada, filtros aplicados, indicadores, gráficos y tablas</t>
        </is>
      </c>
      <c r="E24" s="9" t="n">
        <v>3</v>
      </c>
      <c r="F24" s="10">
        <f>E24*VALOR_HORA</f>
        <v/>
      </c>
    </row>
    <row r="25">
      <c r="A25" s="17" t="inlineStr">
        <is>
          <t>M4</t>
        </is>
      </c>
      <c r="B25" s="8" t="inlineStr">
        <is>
          <t>Exportación del panel de indicadores a PDF</t>
        </is>
      </c>
      <c r="C25" s="17" t="inlineStr">
        <is>
          <t>4.2</t>
        </is>
      </c>
      <c r="D25" s="18" t="inlineStr">
        <is>
          <t>Implementación de la generación del PDF, incluida la representación de los gráficos</t>
        </is>
      </c>
      <c r="E25" s="9" t="n">
        <v>6</v>
      </c>
      <c r="F25" s="10">
        <f>E25*VALOR_HORA</f>
        <v/>
      </c>
    </row>
    <row r="26">
      <c r="A26" s="17" t="inlineStr">
        <is>
          <t>M4</t>
        </is>
      </c>
      <c r="B26" s="8" t="inlineStr">
        <is>
          <t>Exportación del panel de indicadores a PDF</t>
        </is>
      </c>
      <c r="C26" s="17" t="inlineStr">
        <is>
          <t>4.3</t>
        </is>
      </c>
      <c r="D26" s="18" t="inlineStr">
        <is>
          <t>Ajustes de paginación y presentación, y pruebas sobre los distintos alcances</t>
        </is>
      </c>
      <c r="E26" s="9" t="n">
        <v>3</v>
      </c>
      <c r="F26" s="10">
        <f>E26*VALOR_HORA</f>
        <v/>
      </c>
    </row>
    <row r="27">
      <c r="A27" s="19" t="n"/>
      <c r="B27" s="19" t="n"/>
      <c r="C27" s="19" t="n"/>
      <c r="D27" s="20" t="inlineStr">
        <is>
          <t>Subtotal M4</t>
        </is>
      </c>
      <c r="E27" s="21">
        <f>SUM(E24:E26)</f>
        <v/>
      </c>
      <c r="F27" s="22">
        <f>SUM(F24:F26)</f>
        <v/>
      </c>
    </row>
    <row r="28">
      <c r="A28" s="17" t="inlineStr">
        <is>
          <t>M5</t>
        </is>
      </c>
      <c r="B28" s="8" t="inlineStr">
        <is>
          <t>Observaciones del informe de seguridad IN-TIC_SI-103</t>
        </is>
      </c>
      <c r="C28" s="17" t="inlineStr">
        <is>
          <t>5.1</t>
        </is>
      </c>
      <c r="D28" s="18" t="inlineStr">
        <is>
          <t>Hallazgo 6.1 (media) — Conexión cifrada con el servidor de Active Directory: adopción de LDAPS como conexión por defecto</t>
        </is>
      </c>
      <c r="E28" s="9" t="n">
        <v>3</v>
      </c>
      <c r="F28" s="10">
        <f>E28*VALOR_HORA</f>
        <v/>
      </c>
    </row>
    <row r="29">
      <c r="A29" s="17" t="inlineStr">
        <is>
          <t>M5</t>
        </is>
      </c>
      <c r="B29" s="8" t="inlineStr">
        <is>
          <t>Observaciones del informe de seguridad IN-TIC_SI-103</t>
        </is>
      </c>
      <c r="C29" s="17" t="inlineStr">
        <is>
          <t>5.2</t>
        </is>
      </c>
      <c r="D29" s="18" t="inlineStr">
        <is>
          <t>Hallazgo 6.2 (media) — Cambio de gerencia por «transferencia»: validación del contrato contraparte contra el alcance del usuario</t>
        </is>
      </c>
      <c r="E29" s="9" t="n">
        <v>3</v>
      </c>
      <c r="F29" s="10">
        <f>E29*VALOR_HORA</f>
        <v/>
      </c>
    </row>
    <row r="30">
      <c r="A30" s="17" t="inlineStr">
        <is>
          <t>M5</t>
        </is>
      </c>
      <c r="B30" s="8" t="inlineStr">
        <is>
          <t>Observaciones del informe de seguridad IN-TIC_SI-103</t>
        </is>
      </c>
      <c r="C30" s="17" t="inlineStr">
        <is>
          <t>5.3</t>
        </is>
      </c>
      <c r="D30" s="18" t="inlineStr">
        <is>
          <t>Hallazgo 6.3 (media) — Login sin límite de intentos: limitación de intentos por usuario y por origen, y control del alta automática de usuarios</t>
        </is>
      </c>
      <c r="E30" s="9" t="n">
        <v>3</v>
      </c>
      <c r="F30" s="10">
        <f>E30*VALOR_HORA</f>
        <v/>
      </c>
    </row>
    <row r="31">
      <c r="A31" s="17" t="inlineStr">
        <is>
          <t>M5</t>
        </is>
      </c>
      <c r="B31" s="8" t="inlineStr">
        <is>
          <t>Observaciones del informe de seguridad IN-TIC_SI-103</t>
        </is>
      </c>
      <c r="C31" s="17" t="inlineStr">
        <is>
          <t>5.4</t>
        </is>
      </c>
      <c r="D31" s="18" t="inlineStr">
        <is>
          <t>Hallazgo 6.4 (baja) — Token de autenticación sin expiración: vencimiento de sesión, política de contenido y evaluación del uso de cookie segura</t>
        </is>
      </c>
      <c r="E31" s="9" t="n">
        <v>4</v>
      </c>
      <c r="F31" s="10">
        <f>E31*VALOR_HORA</f>
        <v/>
      </c>
    </row>
    <row r="32">
      <c r="A32" s="17" t="inlineStr">
        <is>
          <t>M5</t>
        </is>
      </c>
      <c r="B32" s="8" t="inlineStr">
        <is>
          <t>Observaciones del informe de seguridad IN-TIC_SI-103</t>
        </is>
      </c>
      <c r="C32" s="17" t="inlineStr">
        <is>
          <t>5.5</t>
        </is>
      </c>
      <c r="D32" s="18" t="inlineStr">
        <is>
          <t>Hallazgo 6.5 (baja) — Divulgación de información en errores: configuración del entorno y respuesta de error homogénea</t>
        </is>
      </c>
      <c r="E32" s="9" t="n">
        <v>1</v>
      </c>
      <c r="F32" s="10">
        <f>E32*VALOR_HORA</f>
        <v/>
      </c>
    </row>
    <row r="33">
      <c r="A33" s="17" t="inlineStr">
        <is>
          <t>M5</t>
        </is>
      </c>
      <c r="B33" s="8" t="inlineStr">
        <is>
          <t>Observaciones del informe de seguridad IN-TIC_SI-103</t>
        </is>
      </c>
      <c r="C33" s="17" t="inlineStr">
        <is>
          <t>5.6</t>
        </is>
      </c>
      <c r="D33" s="18" t="inlineStr">
        <is>
          <t>Verificación de las mitigaciones y elaboración de la evidencia para la nueva revisión de la GTIC</t>
        </is>
      </c>
      <c r="E33" s="9" t="n">
        <v>3</v>
      </c>
      <c r="F33" s="10">
        <f>E33*VALOR_HORA</f>
        <v/>
      </c>
    </row>
    <row r="34">
      <c r="A34" s="19" t="n"/>
      <c r="B34" s="19" t="n"/>
      <c r="C34" s="19" t="n"/>
      <c r="D34" s="20" t="inlineStr">
        <is>
          <t>Subtotal M5</t>
        </is>
      </c>
      <c r="E34" s="21">
        <f>SUM(E28:E33)</f>
        <v/>
      </c>
      <c r="F34" s="22">
        <f>SUM(F28:F33)</f>
        <v/>
      </c>
    </row>
    <row r="35">
      <c r="A35" s="17" t="inlineStr">
        <is>
          <t>M6</t>
        </is>
      </c>
      <c r="B35" s="8" t="inlineStr">
        <is>
          <t>Pruebas, documentación y puesta en producción</t>
        </is>
      </c>
      <c r="C35" s="17" t="inlineStr">
        <is>
          <t>6.1</t>
        </is>
      </c>
      <c r="D35" s="18" t="inlineStr">
        <is>
          <t>Pruebas integrales de regresión y acompañamiento de la validación funcional del usuario</t>
        </is>
      </c>
      <c r="E35" s="9" t="n">
        <v>6</v>
      </c>
      <c r="F35" s="10">
        <f>E35*VALOR_HORA</f>
        <v/>
      </c>
    </row>
    <row r="36">
      <c r="A36" s="17" t="inlineStr">
        <is>
          <t>M6</t>
        </is>
      </c>
      <c r="B36" s="8" t="inlineStr">
        <is>
          <t>Pruebas, documentación y puesta en producción</t>
        </is>
      </c>
      <c r="C36" s="17" t="inlineStr">
        <is>
          <t>6.2</t>
        </is>
      </c>
      <c r="D36" s="18" t="inlineStr">
        <is>
          <t>Actualización de la documentación funcional y del manual de implementación</t>
        </is>
      </c>
      <c r="E36" s="9" t="n">
        <v>4</v>
      </c>
      <c r="F36" s="10">
        <f>E36*VALOR_HORA</f>
        <v/>
      </c>
    </row>
    <row r="37">
      <c r="A37" s="17" t="inlineStr">
        <is>
          <t>M6</t>
        </is>
      </c>
      <c r="B37" s="8" t="inlineStr">
        <is>
          <t>Pruebas, documentación y puesta en producción</t>
        </is>
      </c>
      <c r="C37" s="17" t="inlineStr">
        <is>
          <t>6.3</t>
        </is>
      </c>
      <c r="D37" s="18" t="inlineStr">
        <is>
          <t>Despliegue en preproducción y producción, y acompañamiento posterior a la puesta en marcha</t>
        </is>
      </c>
      <c r="E37" s="9" t="n">
        <v>4</v>
      </c>
      <c r="F37" s="10">
        <f>E37*VALOR_HORA</f>
        <v/>
      </c>
    </row>
    <row r="38">
      <c r="A38" s="19" t="n"/>
      <c r="B38" s="19" t="n"/>
      <c r="C38" s="19" t="n"/>
      <c r="D38" s="20" t="inlineStr">
        <is>
          <t>Subtotal M6</t>
        </is>
      </c>
      <c r="E38" s="21">
        <f>SUM(E35:E37)</f>
        <v/>
      </c>
      <c r="F38" s="22">
        <f>SUM(F35:F37)</f>
        <v/>
      </c>
    </row>
    <row r="39">
      <c r="A39" s="11" t="n"/>
      <c r="B39" s="11" t="n"/>
      <c r="C39" s="11" t="n"/>
      <c r="D39" s="23" t="inlineStr">
        <is>
          <t>Total general</t>
        </is>
      </c>
      <c r="E39" s="12">
        <f>Resumen!C14</f>
        <v/>
      </c>
      <c r="F39" s="13">
        <f>Resumen!D14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2026-09-07T16:28:30Z</dcterms:created>
  <dcterms:modified xmlns:dcterms="http://purl.org/dc/terms/" xmlns:xsi="http://www.w3.org/2001/XMLSchema-instance" xsi:type="dcterms:W3CDTF">2026-09-07T16:28:30Z</dcterms:modified>
</cp:coreProperties>
</file>